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" sheetId="1" state="visible" r:id="rId1"/>
    <sheet name="Segmentos" sheetId="2" state="visible" r:id="rId2"/>
    <sheet name="Modelos" sheetId="3" state="visible" r:id="rId3"/>
    <sheet name="Valid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9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Arranca</author>
  </authors>
  <commentList>
    <comment ref="B11" authorId="0" shapeId="0">
      <text>
        <t>Las ponderaciones son una propuesta ajustable, no un dogma.
Recurrencia postventa y calidad de pago pesan más que el ticket (25% cada una vs 20%) porque en venta con inicial y cuotas semanales el margen no está en la unidad vendida, sino en los años siguientes de repuestos y en que el plan llegue completo al final.
Fuente: definido con Arranca, agosto 2026. Pendiente de recalibrar con data real a los 90 días.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0" customWidth="1" min="4" max="4"/>
    <col width="12" customWidth="1" min="5" max="5"/>
    <col width="9" customWidth="1" min="6" max="6"/>
    <col width="12" customWidth="1" min="7" max="7"/>
    <col width="11" customWidth="1" min="8" max="8"/>
    <col width="10" customWidth="1" min="9" max="9"/>
    <col width="8" customWidth="1" min="10" max="10"/>
    <col width="15" customWidth="1" min="11" max="11"/>
    <col width="14" customWidth="1" min="12" max="12"/>
  </cols>
  <sheetData>
    <row r="1" ht="22" customHeight="1">
      <c r="A1" s="1" t="inlineStr">
        <is>
          <t>Modelo de calificación del cliente ideal — Arranca</t>
        </is>
      </c>
    </row>
    <row r="2">
      <c r="A2" s="2" t="inlineStr">
        <is>
          <t>Las celdas AMARILLAS son editables. Al cambiar una ponderación o un puntaje, el total, el orden y el nivel se recalculan solos.</t>
        </is>
      </c>
    </row>
    <row r="4">
      <c r="A4" s="3" t="inlineStr">
        <is>
          <t>PONDERACIONES</t>
        </is>
      </c>
    </row>
    <row r="5" ht="30" customHeight="1">
      <c r="A5" s="4" t="inlineStr">
        <is>
          <t>Criterio</t>
        </is>
      </c>
      <c r="B5" s="4" t="inlineStr">
        <is>
          <t>Peso</t>
        </is>
      </c>
      <c r="C5" s="4" t="inlineStr">
        <is>
          <t>Qué mide</t>
        </is>
      </c>
    </row>
    <row r="6">
      <c r="A6" s="5" t="inlineStr">
        <is>
          <t>Valor de la transacción</t>
        </is>
      </c>
      <c r="B6" s="6" t="n">
        <v>0.2</v>
      </c>
      <c r="C6" s="7" t="inlineStr">
        <is>
          <t>Ticket del modelo más accesorios en el momento de la venta</t>
        </is>
      </c>
    </row>
    <row r="7">
      <c r="A7" s="5" t="inlineStr">
        <is>
          <t>Recurrencia postventa</t>
        </is>
      </c>
      <c r="B7" s="6" t="n">
        <v>0.25</v>
      </c>
      <c r="C7" s="7" t="inlineStr">
        <is>
          <t>Repuestos, mantenimiento, recompra y upgrade a lo largo del tiempo</t>
        </is>
      </c>
    </row>
    <row r="8">
      <c r="A8" s="5" t="inlineStr">
        <is>
          <t>Calidad de pago</t>
        </is>
      </c>
      <c r="B8" s="6" t="n">
        <v>0.25</v>
      </c>
      <c r="C8" s="7" t="inlineStr">
        <is>
          <t>Capacidad de sostener la cuota semanal hasta el final del plan</t>
        </is>
      </c>
    </row>
    <row r="9">
      <c r="A9" s="5" t="inlineStr">
        <is>
          <t>Costo de servirlo</t>
        </is>
      </c>
      <c r="B9" s="6" t="n">
        <v>0.15</v>
      </c>
      <c r="C9" s="7" t="inlineStr">
        <is>
          <t>Esfuerzo comercial y cercanía a tienda (puntaje invertido: menor costo, mayor puntaje)</t>
        </is>
      </c>
    </row>
    <row r="10">
      <c r="A10" s="5" t="inlineStr">
        <is>
          <t>Ajuste con el portafolio EK</t>
        </is>
      </c>
      <c r="B10" s="6" t="n">
        <v>0.15</v>
      </c>
      <c r="C10" s="7" t="inlineStr">
        <is>
          <t>Qué tan bien resuelve su necesidad un modelo que Arranca ya vende</t>
        </is>
      </c>
    </row>
    <row r="11">
      <c r="A11" s="5" t="inlineStr">
        <is>
          <t>TOTAL</t>
        </is>
      </c>
      <c r="B11" s="8">
        <f>SUM(B6:B10)</f>
        <v/>
      </c>
      <c r="C11" s="2" t="inlineStr">
        <is>
          <t>Debe sumar 100%. Si no suma, el scoring está mal ponderado.</t>
        </is>
      </c>
    </row>
    <row r="13">
      <c r="A13" s="3" t="inlineStr">
        <is>
          <t>PUNTAJE POR SEGMENTO</t>
        </is>
      </c>
    </row>
    <row r="14" ht="30" customHeight="1">
      <c r="A14" s="4" t="inlineStr">
        <is>
          <t>#</t>
        </is>
      </c>
      <c r="B14" s="4" t="inlineStr">
        <is>
          <t>Segmento</t>
        </is>
      </c>
      <c r="C14" s="4" t="inlineStr">
        <is>
          <t>Relación con la moto</t>
        </is>
      </c>
      <c r="D14" s="4" t="inlineStr">
        <is>
          <t>Valor</t>
        </is>
      </c>
      <c r="E14" s="4" t="inlineStr">
        <is>
          <t>Recurrencia</t>
        </is>
      </c>
      <c r="F14" s="4" t="inlineStr">
        <is>
          <t>Pago</t>
        </is>
      </c>
      <c r="G14" s="4" t="inlineStr">
        <is>
          <t>Costo servir</t>
        </is>
      </c>
      <c r="H14" s="4" t="inlineStr">
        <is>
          <t>Ajuste EK</t>
        </is>
      </c>
      <c r="I14" s="4" t="inlineStr">
        <is>
          <t>TOTAL</t>
        </is>
      </c>
      <c r="J14" s="4" t="inlineStr">
        <is>
          <t>Orden</t>
        </is>
      </c>
      <c r="K14" s="4" t="inlineStr">
        <is>
          <t>Nivel</t>
        </is>
      </c>
      <c r="L14" s="4" t="inlineStr">
        <is>
          <t>Confianza</t>
        </is>
      </c>
    </row>
    <row r="15">
      <c r="A15" s="9" t="inlineStr">
        <is>
          <t>01</t>
        </is>
      </c>
      <c r="B15" s="5" t="inlineStr">
        <is>
          <t>Rider de aplicaciones</t>
        </is>
      </c>
      <c r="C15" s="10" t="inlineStr">
        <is>
          <t>Activo productivo</t>
        </is>
      </c>
      <c r="D15" s="11" t="n">
        <v>3</v>
      </c>
      <c r="E15" s="11" t="n">
        <v>5</v>
      </c>
      <c r="F15" s="11" t="n">
        <v>4</v>
      </c>
      <c r="G15" s="11" t="n">
        <v>5</v>
      </c>
      <c r="H15" s="11" t="n">
        <v>5</v>
      </c>
      <c r="I15" s="12">
        <f>D15*$B$6+E15*$B$7+F15*$B$8+G15*$B$9+H15*$B$10</f>
        <v/>
      </c>
      <c r="J15" s="13">
        <f>RANK(I15,$I$15:$I$20)</f>
        <v/>
      </c>
      <c r="K15" s="9">
        <f>IF(I15&gt;=4,"PRIMARIO",IF(I15&gt;=3,"SECUNDARIO",IF(I15&gt;=2,"OPORTUNISTA","FUERA DE FOCO")))</f>
        <v/>
      </c>
      <c r="L15" s="13" t="inlineStr">
        <is>
          <t>Alta</t>
        </is>
      </c>
    </row>
    <row r="16">
      <c r="A16" s="9" t="inlineStr">
        <is>
          <t>02</t>
        </is>
      </c>
      <c r="B16" s="5" t="inlineStr">
        <is>
          <t>Mototaxista urbano</t>
        </is>
      </c>
      <c r="C16" s="10" t="inlineStr">
        <is>
          <t>Activo productivo</t>
        </is>
      </c>
      <c r="D16" s="11" t="n">
        <v>3</v>
      </c>
      <c r="E16" s="11" t="n">
        <v>5</v>
      </c>
      <c r="F16" s="11" t="n">
        <v>4</v>
      </c>
      <c r="G16" s="11" t="n">
        <v>4</v>
      </c>
      <c r="H16" s="11" t="n">
        <v>5</v>
      </c>
      <c r="I16" s="12">
        <f>D16*$B$6+E16*$B$7+F16*$B$8+G16*$B$9+H16*$B$10</f>
        <v/>
      </c>
      <c r="J16" s="13">
        <f>RANK(I16,$I$15:$I$20)</f>
        <v/>
      </c>
      <c r="K16" s="9">
        <f>IF(I16&gt;=4,"PRIMARIO",IF(I16&gt;=3,"SECUNDARIO",IF(I16&gt;=2,"OPORTUNISTA","FUERA DE FOCO")))</f>
        <v/>
      </c>
      <c r="L16" s="13" t="inlineStr">
        <is>
          <t>Alta</t>
        </is>
      </c>
    </row>
    <row r="17">
      <c r="A17" s="9" t="inlineStr">
        <is>
          <t>03</t>
        </is>
      </c>
      <c r="B17" s="5" t="inlineStr">
        <is>
          <t>Acarreador del interior</t>
        </is>
      </c>
      <c r="C17" s="10" t="inlineStr">
        <is>
          <t>Activo productivo</t>
        </is>
      </c>
      <c r="D17" s="11" t="n">
        <v>4</v>
      </c>
      <c r="E17" s="11" t="n">
        <v>4</v>
      </c>
      <c r="F17" s="11" t="n">
        <v>3</v>
      </c>
      <c r="G17" s="11" t="n">
        <v>2</v>
      </c>
      <c r="H17" s="11" t="n">
        <v>5</v>
      </c>
      <c r="I17" s="12">
        <f>D17*$B$6+E17*$B$7+F17*$B$8+G17*$B$9+H17*$B$10</f>
        <v/>
      </c>
      <c r="J17" s="13">
        <f>RANK(I17,$I$15:$I$20)</f>
        <v/>
      </c>
      <c r="K17" s="9">
        <f>IF(I17&gt;=4,"PRIMARIO",IF(I17&gt;=3,"SECUNDARIO",IF(I17&gt;=2,"OPORTUNISTA","FUERA DE FOCO")))</f>
        <v/>
      </c>
      <c r="L17" s="13" t="inlineStr">
        <is>
          <t>Media</t>
        </is>
      </c>
    </row>
    <row r="18">
      <c r="A18" s="9" t="inlineStr">
        <is>
          <t>04</t>
        </is>
      </c>
      <c r="B18" s="5" t="inlineStr">
        <is>
          <t>Utilitario doméstico</t>
        </is>
      </c>
      <c r="C18" s="10" t="inlineStr">
        <is>
          <t>Herramienta de sustitución</t>
        </is>
      </c>
      <c r="D18" s="11" t="n">
        <v>2</v>
      </c>
      <c r="E18" s="11" t="n">
        <v>2</v>
      </c>
      <c r="F18" s="11" t="n">
        <v>3</v>
      </c>
      <c r="G18" s="11" t="n">
        <v>2</v>
      </c>
      <c r="H18" s="11" t="n">
        <v>4</v>
      </c>
      <c r="I18" s="12">
        <f>D18*$B$6+E18*$B$7+F18*$B$8+G18*$B$9+H18*$B$10</f>
        <v/>
      </c>
      <c r="J18" s="13">
        <f>RANK(I18,$I$15:$I$20)</f>
        <v/>
      </c>
      <c r="K18" s="9">
        <f>IF(I18&gt;=4,"PRIMARIO",IF(I18&gt;=3,"SECUNDARIO",IF(I18&gt;=2,"OPORTUNISTA","FUERA DE FOCO")))</f>
        <v/>
      </c>
      <c r="L18" s="13" t="inlineStr">
        <is>
          <t>Media-baja</t>
        </is>
      </c>
    </row>
    <row r="19">
      <c r="A19" s="9" t="inlineStr">
        <is>
          <t>05</t>
        </is>
      </c>
      <c r="B19" s="5" t="inlineStr">
        <is>
          <t>Joven de primera moto</t>
        </is>
      </c>
      <c r="C19" s="10" t="inlineStr">
        <is>
          <t>Movilidad e identidad</t>
        </is>
      </c>
      <c r="D19" s="11" t="n">
        <v>2</v>
      </c>
      <c r="E19" s="11" t="n">
        <v>3</v>
      </c>
      <c r="F19" s="11" t="n">
        <v>2</v>
      </c>
      <c r="G19" s="11" t="n">
        <v>4</v>
      </c>
      <c r="H19" s="11" t="n">
        <v>5</v>
      </c>
      <c r="I19" s="12">
        <f>D19*$B$6+E19*$B$7+F19*$B$8+G19*$B$9+H19*$B$10</f>
        <v/>
      </c>
      <c r="J19" s="13">
        <f>RANK(I19,$I$15:$I$20)</f>
        <v/>
      </c>
      <c r="K19" s="9">
        <f>IF(I19&gt;=4,"PRIMARIO",IF(I19&gt;=3,"SECUNDARIO",IF(I19&gt;=2,"OPORTUNISTA","FUERA DE FOCO")))</f>
        <v/>
      </c>
      <c r="L19" s="13" t="inlineStr">
        <is>
          <t>Alta</t>
        </is>
      </c>
    </row>
    <row r="20">
      <c r="A20" s="9" t="inlineStr">
        <is>
          <t>06</t>
        </is>
      </c>
      <c r="B20" s="5" t="inlineStr">
        <is>
          <t>Usuaria urbana</t>
        </is>
      </c>
      <c r="C20" s="10" t="inlineStr">
        <is>
          <t>Sustitución + identidad</t>
        </is>
      </c>
      <c r="D20" s="11" t="n">
        <v>3</v>
      </c>
      <c r="E20" s="11" t="n">
        <v>2</v>
      </c>
      <c r="F20" s="11" t="n">
        <v>3</v>
      </c>
      <c r="G20" s="11" t="n">
        <v>3</v>
      </c>
      <c r="H20" s="11" t="n">
        <v>3</v>
      </c>
      <c r="I20" s="12">
        <f>D20*$B$6+E20*$B$7+F20*$B$8+G20*$B$9+H20*$B$10</f>
        <v/>
      </c>
      <c r="J20" s="13">
        <f>RANK(I20,$I$15:$I$20)</f>
        <v/>
      </c>
      <c r="K20" s="9">
        <f>IF(I20&gt;=4,"PRIMARIO",IF(I20&gt;=3,"SECUNDARIO",IF(I20&gt;=2,"OPORTUNISTA","FUERA DE FOCO")))</f>
        <v/>
      </c>
      <c r="L20" s="13" t="inlineStr">
        <is>
          <t>HIPÓTESIS</t>
        </is>
      </c>
    </row>
    <row r="22">
      <c r="A22" s="3" t="inlineStr">
        <is>
          <t>CÓMO SE USA ESTA HOJA</t>
        </is>
      </c>
    </row>
    <row r="23" ht="26" customHeight="1">
      <c r="A23" s="14" t="inlineStr">
        <is>
          <t>• Celdas AMARILLAS con texto azul = editables. Todo lo demás son fórmulas: no sobrescribir.</t>
        </is>
      </c>
    </row>
    <row r="24" ht="26" customHeight="1">
      <c r="A24" s="14" t="inlineStr">
        <is>
          <t>• Puntajes de 1 a 5. En «Costo de servirlo» el puntaje está INVERTIDO: 5 = barato de servir, 1 = caro.</t>
        </is>
      </c>
    </row>
    <row r="25" ht="26" customHeight="1">
      <c r="A25" s="14" t="inlineStr">
        <is>
          <t>• Niveles: ≥4,0 PRIMARIO (foco de inversión) · 3,0–3,9 SECUNDARIO (atender bien, no perseguir) · 2,0–2,9 OPORTUNISTA (cerrar si llega) · &lt;2,0 FUERA DE FOCO.</t>
        </is>
      </c>
    </row>
    <row r="26" ht="26" customHeight="1">
      <c r="A26" s="14" t="inlineStr">
        <is>
          <t>• Para reordenar prioridades, cambiar las ponderaciones en B6:B10 y verificar que B11 siga sumando 100%.</t>
        </is>
      </c>
    </row>
    <row r="27" ht="26" customHeight="1">
      <c r="A27" s="14" t="inlineStr">
        <is>
          <t>• Ejemplo de uso: si la dirección decide que el ticket importa más que la recurrencia, subir B6 y bajar B7. El orden de la columna J se reordena solo.</t>
        </is>
      </c>
    </row>
    <row r="29" ht="30" customHeight="1">
      <c r="A29" s="15" t="inlineStr">
        <is>
          <t>ADVERTENCIA: los puntajes de partida se fijaron SIN data interna de ventas ni de financiamiento. Son hipótesis fundamentadas, no mediciones. Ver la hoja «Validación» y revisar a los 90 días.</t>
        </is>
      </c>
    </row>
  </sheetData>
  <mergeCells count="6">
    <mergeCell ref="A26:L26"/>
    <mergeCell ref="A24:L24"/>
    <mergeCell ref="A29:L29"/>
    <mergeCell ref="A25:L25"/>
    <mergeCell ref="A23:L23"/>
    <mergeCell ref="A27:L2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42" customWidth="1" min="4" max="4"/>
    <col width="30" customWidth="1" min="5" max="5"/>
    <col width="34" customWidth="1" min="6" max="6"/>
    <col width="44" customWidth="1" min="7" max="7"/>
    <col width="30" customWidth="1" min="8" max="8"/>
  </cols>
  <sheetData>
    <row r="1" ht="22" customHeight="1">
      <c r="A1" s="1" t="inlineStr">
        <is>
          <t>Los seis perfiles en detalle</t>
        </is>
      </c>
    </row>
    <row r="2">
      <c r="A2" s="2" t="inlineStr">
        <is>
          <t>Ficha completa de cada uno en docs/cliente-ideal/personas/</t>
        </is>
      </c>
    </row>
    <row r="4" ht="30" customHeight="1">
      <c r="A4" s="4" t="inlineStr">
        <is>
          <t>#</t>
        </is>
      </c>
      <c r="B4" s="4" t="inlineStr">
        <is>
          <t>Perfil</t>
        </is>
      </c>
      <c r="C4" s="4" t="inlineStr">
        <is>
          <t>Retrato</t>
        </is>
      </c>
      <c r="D4" s="4" t="inlineStr">
        <is>
          <t>Trabajo por hacer</t>
        </is>
      </c>
      <c r="E4" s="4" t="inlineStr">
        <is>
          <t>De dónde sale la cuota</t>
        </is>
      </c>
      <c r="F4" s="4" t="inlineStr">
        <is>
          <t>Criterio de decisión #1</t>
        </is>
      </c>
      <c r="G4" s="4" t="inlineStr">
        <is>
          <t>Señal de reconocimiento en tienda</t>
        </is>
      </c>
      <c r="H4" s="4" t="inlineStr">
        <is>
          <t>Territorio</t>
        </is>
      </c>
    </row>
    <row r="5" ht="74" customHeight="1">
      <c r="A5" s="9" t="inlineStr">
        <is>
          <t>01</t>
        </is>
      </c>
      <c r="B5" s="16" t="inlineStr">
        <is>
          <t>Rider de aplicaciones</t>
        </is>
      </c>
      <c r="C5" s="7" t="inlineStr">
        <is>
          <t>Hombre 22–38 años. Vive del despacho y las carreras por app. 10–14 h/día, 6–7 días/semana, en 2–3 plataformas a la vez.</t>
        </is>
      </c>
      <c r="D5" s="7" t="inlineStr">
        <is>
          <t>Capacidad de generar ingreso todos los días sin interrupción.</t>
        </is>
      </c>
      <c r="E5" s="7" t="inlineStr">
        <is>
          <t>La moto misma: US$400–700 brutos/mes.</t>
        </is>
      </c>
      <c r="F5" s="7" t="inlineStr">
        <is>
          <t>¿Hay repuestos y taller cerca? Un día parado son US$23.</t>
        </is>
      </c>
      <c r="G5" s="7" t="inlineStr">
        <is>
          <t>Pregunta por consumo y repuestos ANTES que por precio. Negocia la inicial, no la cuota.</t>
        </is>
      </c>
      <c r="H5" s="7" t="inlineStr">
        <is>
          <t>Gran Caracas, Valencia</t>
        </is>
      </c>
    </row>
    <row r="6" ht="74" customHeight="1">
      <c r="A6" s="17" t="inlineStr">
        <is>
          <t>02</t>
        </is>
      </c>
      <c r="B6" s="18" t="inlineStr">
        <is>
          <t>Mototaxista urbano</t>
        </is>
      </c>
      <c r="C6" s="19" t="inlineStr">
        <is>
          <t>Hombre 25–45 años, afiliado a una línea con parada asignada y placa amarilla. Cobra en efectivo, todos los días.</t>
        </is>
      </c>
      <c r="D6" s="19" t="inlineStr">
        <is>
          <t>Transportar personas de forma previsible, donde el transporte público dejó de serlo.</t>
        </is>
      </c>
      <c r="E6" s="19" t="inlineStr">
        <is>
          <t>La moto misma: US$100–180/semana en efectivo.</t>
        </is>
      </c>
      <c r="F6" s="19" t="inlineStr">
        <is>
          <t>Comodidad del parrillero: es lo que vende su servicio.</t>
        </is>
      </c>
      <c r="G6" s="19" t="inlineStr">
        <is>
          <t>Menciona su línea, parada o asociación sin que se lo pregunten. Pregunta si hay plan para varios.</t>
        </is>
      </c>
      <c r="H6" s="19" t="inlineStr">
        <is>
          <t>Capitales y periurbano</t>
        </is>
      </c>
    </row>
    <row r="7" ht="74" customHeight="1">
      <c r="A7" s="9" t="inlineStr">
        <is>
          <t>03</t>
        </is>
      </c>
      <c r="B7" s="16" t="inlineStr">
        <is>
          <t>Acarreador del interior</t>
        </is>
      </c>
      <c r="C7" s="7" t="inlineStr">
        <is>
          <t>Hombre 28–55 años. Mueve materiales, insumos, cosecha. Camino de tierra, pendiente, carga.</t>
        </is>
      </c>
      <c r="D7" s="7" t="inlineStr">
        <is>
          <t>Mover carga donde un vehículo de cuatro ruedas no llega, no cabe o no se puede llenar.</t>
        </is>
      </c>
      <c r="E7" s="7" t="inlineStr">
        <is>
          <t>Ingreso estacional: cosecha, ciclo minero.</t>
        </is>
      </c>
      <c r="F7" s="7" t="inlineStr">
        <is>
          <t>¿Aguanta? Y después: ¿la arregla el mecánico de aquí?</t>
        </is>
      </c>
      <c r="G7" s="7" t="inlineStr">
        <is>
          <t>Pregunta cuánto peso aguanta la parrilla — primera pregunta, no la tercera.</t>
        </is>
      </c>
      <c r="H7" s="7" t="inlineStr">
        <is>
          <t>Sur, llanos, periferia de Maturín</t>
        </is>
      </c>
    </row>
    <row r="8" ht="74" customHeight="1">
      <c r="A8" s="17" t="inlineStr">
        <is>
          <t>04</t>
        </is>
      </c>
      <c r="B8" s="18" t="inlineStr">
        <is>
          <t>Utilitario doméstico</t>
        </is>
      </c>
      <c r="C8" s="19" t="inlineStr">
        <is>
          <t>Jefe o jefa de hogar 30–55 años en pueblo o periferia. No vive de la moto: la compró porque el autobús dejó de pasar.</t>
        </is>
      </c>
      <c r="D8" s="19" t="inlineStr">
        <is>
          <t>Sustituir un automóvil que no puede comprar y un transporte público que ya no existe.</t>
        </is>
      </c>
      <c r="E8" s="19" t="inlineStr">
        <is>
          <t>Sueldo, negocio propio o remesa (~US$65/mes).</t>
        </is>
      </c>
      <c r="F8" s="19" t="inlineStr">
        <is>
          <t>Precio total y cuota. Es el más sensible al precio de los seis.</t>
        </is>
      </c>
      <c r="G8" s="19" t="inlineStr">
        <is>
          <t>Viene acompañado. Pregunta si caben dos atrás. Compara la cuota con lo que gasta en pasaje.</t>
        </is>
      </c>
      <c r="H8" s="19" t="inlineStr">
        <is>
          <t>Interior y periurbano</t>
        </is>
      </c>
    </row>
    <row r="9" ht="74" customHeight="1">
      <c r="A9" s="9" t="inlineStr">
        <is>
          <t>05</t>
        </is>
      </c>
      <c r="B9" s="16" t="inlineStr">
        <is>
          <t>Joven de primera moto</t>
        </is>
      </c>
      <c r="C9" s="7" t="inlineStr">
        <is>
          <t>18–26 años, urbano. Primer vehículo propio. No la necesita para trabajar: la quiere para dejar de depender.</t>
        </is>
      </c>
      <c r="D9" s="7" t="inlineStr">
        <is>
          <t>Autonomía e identidad, en ese orden.</t>
        </is>
      </c>
      <c r="E9" s="7" t="inlineStr">
        <is>
          <t>Aval, inicial o cuota aportada por la familia.</t>
        </is>
      </c>
      <c r="F9" s="7" t="inlineStr">
        <is>
          <t>Cómo se ve. No se disculpa por ello y no hay que corregírselo.</t>
        </is>
      </c>
      <c r="G9" s="7" t="inlineStr">
        <is>
          <t>Pregunta por los colores antes que por cualquier especificación. Viene con un familiar que pregunta el precio.</t>
        </is>
      </c>
      <c r="H9" s="7" t="inlineStr">
        <is>
          <t>Transversal, más urbano</t>
        </is>
      </c>
    </row>
    <row r="10" ht="74" customHeight="1">
      <c r="A10" s="17" t="inlineStr">
        <is>
          <t>06</t>
        </is>
      </c>
      <c r="B10" s="18" t="inlineStr">
        <is>
          <t>Usuaria urbana</t>
        </is>
      </c>
      <c r="C10" s="19" t="inlineStr">
        <is>
          <t>HIPÓTESIS. Segmento emergente sin ninguna estadística venezolana que lo sustente.</t>
        </is>
      </c>
      <c r="D10" s="19" t="inlineStr">
        <is>
          <t>Moverse por la ciudad sin depender del transporte público ni de que alguien la lleve.</t>
        </is>
      </c>
      <c r="E10" s="19" t="inlineStr">
        <is>
          <t>Sin base para estimarlo.</t>
        </is>
      </c>
      <c r="F10" s="19" t="inlineStr">
        <is>
          <t>Manejabilidad y peso: que pueda maniobrarla sola.</t>
        </is>
      </c>
      <c r="G10" s="19" t="inlineStr">
        <is>
          <t>Sin evidencia. Registrar género del comprador × modelo para saber si el segmento existe.</t>
        </is>
      </c>
      <c r="H10" s="19" t="inlineStr">
        <is>
          <t>Capitales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6" customWidth="1" min="4" max="4"/>
    <col width="56" customWidth="1" min="5" max="5"/>
    <col width="34" customWidth="1" min="6" max="6"/>
    <col width="26" customWidth="1" min="7" max="7"/>
    <col width="28" customWidth="1" min="8" max="8"/>
  </cols>
  <sheetData>
    <row r="1" ht="22" customHeight="1">
      <c r="A1" s="1" t="inlineStr">
        <is>
          <t>Matriz segmento ↔ modelo Empire Keeway</t>
        </is>
      </c>
    </row>
    <row r="2">
      <c r="A2" s="2" t="inlineStr">
        <is>
          <t>La columna que importa no es «qué modelo» sino «por qué». PRECIOS: ~80% son de 2025 — contrastar con la lista de distribuidor antes de usarlos.</t>
        </is>
      </c>
    </row>
    <row r="4" ht="30" customHeight="1">
      <c r="A4" s="4" t="inlineStr">
        <is>
          <t>#</t>
        </is>
      </c>
      <c r="B4" s="4" t="inlineStr">
        <is>
          <t>Segmento</t>
        </is>
      </c>
      <c r="C4" s="4" t="inlineStr">
        <is>
          <t>Nivel</t>
        </is>
      </c>
      <c r="D4" s="4" t="inlineStr">
        <is>
          <t>Modelo primario</t>
        </is>
      </c>
      <c r="E4" s="4" t="inlineStr">
        <is>
          <t>Por qué ese modelo</t>
        </is>
      </c>
      <c r="F4" s="4" t="inlineStr">
        <is>
          <t>Secundarios</t>
        </is>
      </c>
      <c r="G4" s="4" t="inlineStr">
        <is>
          <t>Escalón de crecimiento</t>
        </is>
      </c>
      <c r="H4" s="4" t="inlineStr">
        <is>
          <t>Evitar</t>
        </is>
      </c>
    </row>
    <row r="5" ht="76" customHeight="1">
      <c r="A5" s="9" t="inlineStr">
        <is>
          <t>01</t>
        </is>
      </c>
      <c r="B5" s="16" t="inlineStr">
        <is>
          <t>Rider de aplicaciones</t>
        </is>
      </c>
      <c r="C5" s="20" t="inlineStr">
        <is>
          <t>PRIMARIO</t>
        </is>
      </c>
      <c r="D5" s="16" t="inlineStr">
        <is>
          <t>Horse · Owen 150</t>
        </is>
      </c>
      <c r="E5" s="7" t="inlineStr">
        <is>
          <t>Horse: el fabricante lo posiciona para «mototaxistas y repartidores» — asiento largo, parrilla sólida, rines 18". Owen: corona 41/piñón 15 elegida para fuerza en carga.</t>
        </is>
      </c>
      <c r="F5" s="7" t="inlineStr">
        <is>
          <t>Xpress 150/Lite · Owen 200S · Arsen II 200</t>
        </is>
      </c>
      <c r="G5" s="7" t="inlineStr">
        <is>
          <t>Owen 200S</t>
        </is>
      </c>
      <c r="H5" s="7" t="inlineStr">
        <is>
          <t>Matrix (tanque 7 L)</t>
        </is>
      </c>
    </row>
    <row r="6" ht="76" customHeight="1">
      <c r="A6" s="17" t="inlineStr">
        <is>
          <t>02</t>
        </is>
      </c>
      <c r="B6" s="18" t="inlineStr">
        <is>
          <t>Mototaxista urbano</t>
        </is>
      </c>
      <c r="C6" s="20" t="inlineStr">
        <is>
          <t>PRIMARIO</t>
        </is>
      </c>
      <c r="D6" s="18" t="inlineStr">
        <is>
          <t>Owen 150 (según Arranca)</t>
        </is>
      </c>
      <c r="E6" s="19" t="inlineStr">
        <is>
          <t>DISCREPANCIA ABIERTA: Arranca reporta Owen; las fuentes públicas asocian el Horse con mototaxistas. No se resuelve a favor de la prensa — el piso de venta es evidencia primaria. Ver hipótesis H2.</t>
        </is>
      </c>
      <c r="F6" s="19" t="inlineStr">
        <is>
          <t>Horse · Owen 200S</t>
        </is>
      </c>
      <c r="G6" s="19" t="inlineStr">
        <is>
          <t>—</t>
        </is>
      </c>
      <c r="H6" s="19" t="inlineStr">
        <is>
          <t>Scooter y deportivas</t>
        </is>
      </c>
    </row>
    <row r="7" ht="76" customHeight="1">
      <c r="A7" s="9" t="inlineStr">
        <is>
          <t>03</t>
        </is>
      </c>
      <c r="B7" s="16" t="inlineStr">
        <is>
          <t>Acarreador del interior</t>
        </is>
      </c>
      <c r="C7" s="21" t="inlineStr">
        <is>
          <t>SECUNDARIO</t>
        </is>
      </c>
      <c r="D7" s="16" t="inlineStr">
        <is>
          <t>Horse</t>
        </is>
      </c>
      <c r="E7" s="7" t="inlineStr">
        <is>
          <t>Parrilla robusta, asiento de 70 cm, rines de 18", torque a bajas vueltas para pendiente con peso. Es el modelo históricamente más vendido de la marca.</t>
        </is>
      </c>
      <c r="F7" s="7" t="inlineStr">
        <is>
          <t>Owen 150 · TX 150 · TX 250 GS</t>
        </is>
      </c>
      <c r="G7" s="7" t="inlineStr">
        <is>
          <t>Atlas 200 / HD / HDS</t>
        </is>
      </c>
      <c r="H7" s="7" t="inlineStr">
        <is>
          <t>Matrix y línea scooter</t>
        </is>
      </c>
    </row>
    <row r="8" ht="76" customHeight="1">
      <c r="A8" s="17" t="inlineStr">
        <is>
          <t>04</t>
        </is>
      </c>
      <c r="B8" s="18" t="inlineStr">
        <is>
          <t>Utilitario doméstico</t>
        </is>
      </c>
      <c r="C8" s="22" t="inlineStr">
        <is>
          <t>OPORTUNISTA</t>
        </is>
      </c>
      <c r="D8" s="18" t="inlineStr">
        <is>
          <t>Horse · Owen 150</t>
        </is>
      </c>
      <c r="E8" s="19" t="inlineStr">
        <is>
          <t>Asiento de 70 cm y parrilla: pasajero más mercado. Owen aporta suspensión de doble resorte y la postura más cómoda para uso familiar.</t>
        </is>
      </c>
      <c r="F8" s="19" t="inlineStr">
        <is>
          <t>Xpress Lite · TX 150</t>
        </is>
      </c>
      <c r="G8" s="19" t="inlineStr">
        <is>
          <t>—</t>
        </is>
      </c>
      <c r="H8" s="19" t="inlineStr">
        <is>
          <t>Scooter si hay tierra o distancia</t>
        </is>
      </c>
    </row>
    <row r="9" ht="76" customHeight="1">
      <c r="A9" s="9" t="inlineStr">
        <is>
          <t>05</t>
        </is>
      </c>
      <c r="B9" s="16" t="inlineStr">
        <is>
          <t>Joven de primera moto</t>
        </is>
      </c>
      <c r="C9" s="21" t="inlineStr">
        <is>
          <t>SECUNDARIO</t>
        </is>
      </c>
      <c r="D9" s="16" t="inlineStr">
        <is>
          <t>Xpress Lite · Xpress 150 II / 200S</t>
        </is>
      </c>
      <c r="E9" s="7" t="inlineStr">
        <is>
          <t>Doblemente confirmado: es «el modelo más vendido, preferido por los jóvenes», y la Xpress Lite es la puerta de entrada del portafolio a US$1.020 con placa y seguro.</t>
        </is>
      </c>
      <c r="F9" s="7" t="inlineStr">
        <is>
          <t>Matrix</t>
        </is>
      </c>
      <c r="G9" s="7" t="inlineStr">
        <is>
          <t>RK 200 / RK 250 · Arsen II 200</t>
        </is>
      </c>
      <c r="H9" s="7" t="inlineStr">
        <is>
          <t>—</t>
        </is>
      </c>
    </row>
    <row r="10" ht="76" customHeight="1">
      <c r="A10" s="17" t="inlineStr">
        <is>
          <t>06</t>
        </is>
      </c>
      <c r="B10" s="18" t="inlineStr">
        <is>
          <t>Usuaria urbana</t>
        </is>
      </c>
      <c r="C10" s="22" t="inlineStr">
        <is>
          <t>OPORTUNISTA</t>
        </is>
      </c>
      <c r="D10" s="18" t="inlineStr">
        <is>
          <t>Matrix II / Matrix Lite</t>
        </is>
      </c>
      <c r="E10" s="19" t="inlineStr">
        <is>
          <t>HIPÓTESIS. EK tiene línea de scooter pero no un producto POSICIONADO para este segmento. El ajuste es aceptable, no bueno.</t>
        </is>
      </c>
      <c r="F10" s="19" t="inlineStr">
        <is>
          <t>New Outlook II · Xpress Lite</t>
        </is>
      </c>
      <c r="G10" s="19" t="inlineStr">
        <is>
          <t>—</t>
        </is>
      </c>
      <c r="H10" s="19" t="inlineStr">
        <is>
          <t>—</t>
        </is>
      </c>
    </row>
    <row r="12">
      <c r="A12" s="3" t="inlineStr">
        <is>
          <t>LO QUE EL CRUCE DEJÓ A LA VISTA</t>
        </is>
      </c>
    </row>
    <row r="13" ht="40" customHeight="1">
      <c r="A13" s="14" t="inlineStr">
        <is>
          <t>• El Horse y el Owen cargan con casi todo: 4 de los 6 segmentos —incluidos los dos Primarios— los tienen como modelo primario. La mayor parte del volumen descansa sobre dos modelos de ticket bajo (~US$1.175–1.212).</t>
        </is>
      </c>
    </row>
    <row r="14" ht="40" customHeight="1">
      <c r="A14" s="14" t="inlineStr">
        <is>
          <t>• Hay un salto vacío entre US$2.200 y US$4.100, justo donde el cliente productivo que prospera busca su segunda moto. Se va del portafolio en el momento exacto en que se había vuelto un buen cliente.</t>
        </is>
      </c>
    </row>
    <row r="15" ht="40" customHeight="1">
      <c r="A15" s="14" t="inlineStr">
        <is>
          <t>• La línea Atlas (trimotos de carga: 1.000 kg, batea 3,08 m², cabina, volteo hidráulico) es el escalón natural del acarreador cuando su negocio crece, y hoy no se está ofreciendo. SIN PRECIO PÚBLICO, y garantía de 6 meses / 6.000 km frente a 2 años / 20.000 km del resto de la marca: hay que decirlo EN la venta, no después.</t>
        </is>
      </c>
    </row>
    <row r="16" ht="40" customHeight="1">
      <c r="A16" s="14" t="inlineStr">
        <is>
          <t>• Regla para el vendedor: primero el uso, después el modelo. El presupuesto determina la versión, no el modelo.</t>
        </is>
      </c>
    </row>
    <row r="17" ht="40" customHeight="1">
      <c r="A17" s="14" t="inlineStr">
        <is>
          <t>• Regla para el vendedor: si la moto va a producir ingreso, el argumento es el tiempo fuera de servicio, no el precio. Una semana esperando un repuesto son US$161 — más de seis cuotas semanales.</t>
        </is>
      </c>
    </row>
  </sheetData>
  <mergeCells count="5">
    <mergeCell ref="A15:H15"/>
    <mergeCell ref="A16:H16"/>
    <mergeCell ref="A13:H13"/>
    <mergeCell ref="A14:H14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6" customWidth="1" min="3" max="3"/>
    <col width="38" customWidth="1" min="4" max="4"/>
    <col width="40" customWidth="1" min="5" max="5"/>
    <col width="40" customWidth="1" min="6" max="6"/>
    <col width="16" customWidth="1" min="7" max="7"/>
  </cols>
  <sheetData>
    <row r="1" ht="22" customHeight="1">
      <c r="A1" s="1" t="inlineStr">
        <is>
          <t>Plan de validación — 9 hipótesis</t>
        </is>
      </c>
    </row>
    <row r="2">
      <c r="A2" s="2" t="inlineStr">
        <is>
          <t>Umbrales fijados ANTES de mirar los datos. Registrar el resultado en la columna «Estado» en la revisión de los 90 días.</t>
        </is>
      </c>
    </row>
    <row r="4" ht="30" customHeight="1">
      <c r="A4" s="4" t="inlineStr">
        <is>
          <t>ID</t>
        </is>
      </c>
      <c r="B4" s="4" t="inlineStr">
        <is>
          <t>Hipótesis</t>
        </is>
      </c>
      <c r="C4" s="4" t="inlineStr">
        <is>
          <t>Confianza inicial</t>
        </is>
      </c>
      <c r="D4" s="4" t="inlineStr">
        <is>
          <t>Prueba</t>
        </is>
      </c>
      <c r="E4" s="4" t="inlineStr">
        <is>
          <t>CONFIRMA si</t>
        </is>
      </c>
      <c r="F4" s="4" t="inlineStr">
        <is>
          <t>DESCARTA si</t>
        </is>
      </c>
      <c r="G4" s="4" t="inlineStr">
        <is>
          <t>Estado</t>
        </is>
      </c>
    </row>
    <row r="5" ht="58" customHeight="1">
      <c r="A5" s="9" t="inlineStr">
        <is>
          <t>H1</t>
        </is>
      </c>
      <c r="B5" s="7" t="inlineStr">
        <is>
          <t>El Horse es el modelo dominante para acarreo y faena en el Sur y el interior</t>
        </is>
      </c>
      <c r="C5" s="7" t="inlineStr">
        <is>
          <t>Alta</t>
        </is>
      </c>
      <c r="D5" s="7" t="inlineStr">
        <is>
          <t>Cruce sucursal × modelo + uso previsto</t>
        </is>
      </c>
      <c r="E5" s="7" t="inlineStr">
        <is>
          <t>Horse supera el 40% de las ventas en sucursales del interior, con uso previsto «carga/faena» como primer motivo</t>
        </is>
      </c>
      <c r="F5" s="7" t="inlineStr">
        <is>
          <t>Su participación en el interior no se distingue de la del resto de plazas</t>
        </is>
      </c>
      <c r="G5" s="11" t="inlineStr">
        <is>
          <t>Pendiente</t>
        </is>
      </c>
    </row>
    <row r="6" ht="58" customHeight="1">
      <c r="A6" s="17" t="inlineStr">
        <is>
          <t>H2</t>
        </is>
      </c>
      <c r="B6" s="19" t="inlineStr">
        <is>
          <t>El Owen es el modelo preferido del mototaxista urbano de pasajeros</t>
        </is>
      </c>
      <c r="C6" s="19" t="inlineStr">
        <is>
          <t>Media — EN DISPUTA</t>
        </is>
      </c>
      <c r="D6" s="19" t="inlineStr">
        <is>
          <t>Cruce modelo × uso previsto «mototaxi»</t>
        </is>
      </c>
      <c r="E6" s="19" t="inlineStr">
        <is>
          <t>Más del 50% de las ventas marcadas como mototaxi son Owen</t>
        </is>
      </c>
      <c r="F6" s="19" t="inlineStr">
        <is>
          <t>El Horse supera al Owen, o se reparte parejo entre tres o más modelos</t>
        </is>
      </c>
      <c r="G6" s="11" t="inlineStr">
        <is>
          <t>Pendiente</t>
        </is>
      </c>
    </row>
    <row r="7" ht="58" customHeight="1">
      <c r="A7" s="9" t="inlineStr">
        <is>
          <t>H3</t>
        </is>
      </c>
      <c r="B7" s="7" t="inlineStr">
        <is>
          <t>La Xpress concentra a los compradores de primer vehículo</t>
        </is>
      </c>
      <c r="C7" s="7" t="inlineStr">
        <is>
          <t>Alta</t>
        </is>
      </c>
      <c r="D7" s="7" t="inlineStr">
        <is>
          <t>Cruce modelo × edad × primera compra</t>
        </is>
      </c>
      <c r="E7" s="7" t="inlineStr">
        <is>
          <t>Edad promedio del comprador de Xpress al menos 6 años menor que la media general</t>
        </is>
      </c>
      <c r="F7" s="7" t="inlineStr">
        <is>
          <t>La edad del comprador de Xpress no difiere de la media</t>
        </is>
      </c>
      <c r="G7" s="11" t="inlineStr">
        <is>
          <t>Pendiente</t>
        </is>
      </c>
    </row>
    <row r="8" ht="58" customHeight="1">
      <c r="A8" s="17" t="inlineStr">
        <is>
          <t>H4</t>
        </is>
      </c>
      <c r="B8" s="19" t="inlineStr">
        <is>
          <t>El rider decide por costo de operación y repuestos, no por precio de lista</t>
        </is>
      </c>
      <c r="C8" s="19" t="inlineStr">
        <is>
          <t>Media</t>
        </is>
      </c>
      <c r="D8" s="19" t="inlineStr">
        <is>
          <t>Entrevistas, preguntas 3, 4 y 6</t>
        </is>
      </c>
      <c r="E8" s="19" t="inlineStr">
        <is>
          <t>6 de cada 10 entrevistados mencionan consumo, repuestos o tiempo de taller antes que precio</t>
        </is>
      </c>
      <c r="F8" s="19" t="inlineStr">
        <is>
          <t>El precio de compra domina de forma clara la justificación</t>
        </is>
      </c>
      <c r="G8" s="11" t="inlineStr">
        <is>
          <t>Pendiente</t>
        </is>
      </c>
    </row>
    <row r="9" ht="58" customHeight="1">
      <c r="A9" s="9" t="inlineStr">
        <is>
          <t>H5</t>
        </is>
      </c>
      <c r="B9" s="7" t="inlineStr">
        <is>
          <t>El ingreso generado por la moto sostiene la cuota mejor que un sueldo fijo</t>
        </is>
      </c>
      <c r="C9" s="7" t="inlineStr">
        <is>
          <t>Media</t>
        </is>
      </c>
      <c r="D9" s="7" t="inlineStr">
        <is>
          <t>Cruce fuente de ingreso × mora</t>
        </is>
      </c>
      <c r="E9" s="7" t="inlineStr">
        <is>
          <t>La mora del segmento productivo es menor que la del segmento con sueldo fijo</t>
        </is>
      </c>
      <c r="F9" s="7" t="inlineStr">
        <is>
          <t>Es igual o mayor</t>
        </is>
      </c>
      <c r="G9" s="11" t="inlineStr">
        <is>
          <t>Pendiente</t>
        </is>
      </c>
    </row>
    <row r="10" ht="58" customHeight="1">
      <c r="A10" s="17" t="inlineStr">
        <is>
          <t>H6</t>
        </is>
      </c>
      <c r="B10" s="19" t="inlineStr">
        <is>
          <t>Existe un segmento utilitario doméstico en el interior con volumen relevante</t>
        </is>
      </c>
      <c r="C10" s="19" t="inlineStr">
        <is>
          <t>Media</t>
        </is>
      </c>
      <c r="D10" s="19" t="inlineStr">
        <is>
          <t>Registro de uso previsto en punto de venta</t>
        </is>
      </c>
      <c r="E10" s="19" t="inlineStr">
        <is>
          <t>Al menos 15% de las ventas del interior declaran «diligencias y familia»</t>
        </is>
      </c>
      <c r="F10" s="19" t="inlineStr">
        <is>
          <t>Queda por debajo del 5%</t>
        </is>
      </c>
      <c r="G10" s="11" t="inlineStr">
        <is>
          <t>Pendiente</t>
        </is>
      </c>
    </row>
    <row r="11" ht="58" customHeight="1">
      <c r="A11" s="9" t="inlineStr">
        <is>
          <t>H7</t>
        </is>
      </c>
      <c r="B11" s="7" t="inlineStr">
        <is>
          <t>Existe un segmento de usuaria urbana / scooter con volumen suficiente</t>
        </is>
      </c>
      <c r="C11" s="7" t="inlineStr">
        <is>
          <t>HIPÓTESIS — baja</t>
        </is>
      </c>
      <c r="D11" s="7" t="inlineStr">
        <is>
          <t>Registro de género × modelo, en capitales</t>
        </is>
      </c>
      <c r="E11" s="7" t="inlineStr">
        <is>
          <t>Las mujeres superan el 12% de las compradoras en capitales, concentradas en scooter/línea urbana</t>
        </is>
      </c>
      <c r="F11" s="7" t="inlineStr">
        <is>
          <t>Se mantiene por debajo del 5% sin concentración por modelo</t>
        </is>
      </c>
      <c r="G11" s="11" t="inlineStr">
        <is>
          <t>Pendiente</t>
        </is>
      </c>
    </row>
    <row r="12" ht="58" customHeight="1">
      <c r="A12" s="17" t="inlineStr">
        <is>
          <t>H8</t>
        </is>
      </c>
      <c r="B12" s="19" t="inlineStr">
        <is>
          <t>El comprador de precio puro, sin ingreso ligado a la moto, es el de peor pago</t>
        </is>
      </c>
      <c r="C12" s="19" t="inlineStr">
        <is>
          <t>Media</t>
        </is>
      </c>
      <c r="D12" s="19" t="inlineStr">
        <is>
          <t>Cruce inicial baja + sueldo/apoyo familiar × mora</t>
        </is>
      </c>
      <c r="E12" s="19" t="inlineStr">
        <is>
          <t>Su tasa de atraso duplica la del promedio</t>
        </is>
      </c>
      <c r="F12" s="19" t="inlineStr">
        <is>
          <t>No se diferencia del promedio</t>
        </is>
      </c>
      <c r="G12" s="11" t="inlineStr">
        <is>
          <t>Pendiente</t>
        </is>
      </c>
    </row>
    <row r="13" ht="58" customHeight="1">
      <c r="A13" s="9" t="inlineStr">
        <is>
          <t>H9</t>
        </is>
      </c>
      <c r="B13" s="7" t="inlineStr">
        <is>
          <t>El rider es cliente recurrente, con ciclo de reposición de 12–24 meses</t>
        </is>
      </c>
      <c r="C13" s="7" t="inlineStr">
        <is>
          <t>Media</t>
        </is>
      </c>
      <c r="D13" s="7" t="inlineStr">
        <is>
          <t>Cruce de documento del comprador × ventas repetidas, ventana de 3 años</t>
        </is>
      </c>
      <c r="E13" s="7" t="inlineStr">
        <is>
          <t>Más del 25% de los compradores del segmento productivo repite dentro de 24 meses</t>
        </is>
      </c>
      <c r="F13" s="7" t="inlineStr">
        <is>
          <t>La tasa de recompra a 24 meses queda por debajo del 10%</t>
        </is>
      </c>
      <c r="G13" s="11" t="inlineStr">
        <is>
          <t>Pendiente</t>
        </is>
      </c>
    </row>
    <row r="16">
      <c r="A16" s="3" t="inlineStr">
        <is>
          <t>ORDEN DE EJECUCIÓN</t>
        </is>
      </c>
    </row>
    <row r="17" ht="42" customHeight="1">
      <c r="A17" s="14" t="inlineStr">
        <is>
          <t>• PRIMERO (semana 1) — Arrancar el registro de 3 preguntas en punto de venta: uso previsto, de dónde sale la cuota, cómo se enteró de Arranca. Cuesta casi nada y es el cuello de botella de todo lo demás. Cada semana sin registrar es una semana de datos perdida para siempre.</t>
        </is>
      </c>
    </row>
    <row r="18" ht="42" customHeight="1">
      <c r="A18" s="14" t="inlineStr">
        <is>
          <t>• SEGUNDO (semanas 1–2) — Pedir la extracción al área de financiamiento. El dato YA EXISTE. Resuelve H1, H2, H3, H5, H8 y H9 con historial, sin esperar a acumular ventas nuevas. Es el mayor retorno inmediato del plan.</t>
        </is>
      </c>
    </row>
    <row r="19" ht="42" customHeight="1">
      <c r="A19" s="14" t="inlineStr">
        <is>
          <t>• TERCERO (semanas 3–5) — Entrevistas a los dos segmentos productivos (rider y mototaxista). Resuelve H4.</t>
        </is>
      </c>
    </row>
    <row r="20" ht="42" customHeight="1">
      <c r="A20" s="14" t="inlineStr">
        <is>
          <t>• CUARTO (semanas 5–7) — Entrevistas al interior (acarreador y utilitario doméstico). Resuelve H6 y afina H1.</t>
        </is>
      </c>
    </row>
    <row r="21" ht="42" customHeight="1">
      <c r="A21" s="14" t="inlineStr">
        <is>
          <t>• QUINTO (semana 8+) — Sondeo del segmento emergente (H7). El de menor certeza: se valida al final, con lo que sobre, y sin comprometer inventario antes de tener la respuesta.</t>
        </is>
      </c>
    </row>
    <row r="23" ht="46" customHeight="1">
      <c r="A23" s="15" t="inlineStr">
        <is>
          <t>REVISIÓN A LOS 90 DÍAS: cada hipótesis queda confirmada, descartada o ajustada, y las ponderaciones de la hoja «Scoring» se recalculan. Un perfil que no resiste su propia prueba SE ELIMINA — no se conserva «por si acaso». Mantener perfiles no validados es exactamente lo que convierte una estrategia en folclore interno.</t>
        </is>
      </c>
    </row>
  </sheetData>
  <mergeCells count="6">
    <mergeCell ref="A17:G17"/>
    <mergeCell ref="A18:G18"/>
    <mergeCell ref="A21:G21"/>
    <mergeCell ref="A20:G20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2026-08-11T20:20:38Z</dcterms:created>
  <dcterms:modified xsi:type="dcterms:W3CDTF">2026-08-11T20:20:38Z</dcterms:modified>
</cp:coreProperties>
</file>